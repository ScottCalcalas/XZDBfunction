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uwildcat-my.sharepoint.com/personal/jcc1885_ads_northwestern_edu/Documents/NU Projects/10 November 2025/8 BK Draw Prism/2 siLucEzr4E_WBquant_forPRISM/Clean/"/>
    </mc:Choice>
  </mc:AlternateContent>
  <xr:revisionPtr revIDLastSave="76" documentId="8_{1F29494A-872D-470F-85BA-61A9169B3D61}" xr6:coauthVersionLast="47" xr6:coauthVersionMax="47" xr10:uidLastSave="{AAF4E023-063C-44E9-88C6-1796C135CCD6}"/>
  <bookViews>
    <workbookView xWindow="28680" yWindow="-120" windowWidth="29040" windowHeight="15720" xr2:uid="{66A5BC55-2BA8-4187-83DA-7119FC1EA5AF}"/>
  </bookViews>
  <sheets>
    <sheet name="Clean now" sheetId="3" r:id="rId1"/>
    <sheet name="Clean" sheetId="2" r:id="rId2"/>
    <sheet name="Susp+Inv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1" l="1"/>
  <c r="L4" i="1"/>
  <c r="L3" i="1"/>
  <c r="M37" i="1"/>
  <c r="L37" i="1"/>
  <c r="M36" i="1"/>
  <c r="L36" i="1"/>
  <c r="M35" i="1"/>
  <c r="L35" i="1"/>
  <c r="M33" i="1"/>
  <c r="L33" i="1"/>
  <c r="M32" i="1"/>
  <c r="L32" i="1"/>
  <c r="M31" i="1"/>
  <c r="L31" i="1"/>
  <c r="M29" i="1"/>
  <c r="L29" i="1"/>
  <c r="M28" i="1"/>
  <c r="L28" i="1"/>
  <c r="M27" i="1"/>
  <c r="L27" i="1"/>
  <c r="M25" i="1"/>
  <c r="L25" i="1"/>
  <c r="M24" i="1"/>
  <c r="L24" i="1"/>
  <c r="M23" i="1"/>
  <c r="L23" i="1"/>
  <c r="M21" i="1"/>
  <c r="L21" i="1"/>
  <c r="M20" i="1"/>
  <c r="L20" i="1"/>
  <c r="M19" i="1"/>
  <c r="L19" i="1"/>
  <c r="M17" i="1"/>
  <c r="L17" i="1"/>
  <c r="M16" i="1"/>
  <c r="L16" i="1"/>
  <c r="M15" i="1"/>
  <c r="L15" i="1"/>
  <c r="M13" i="1"/>
  <c r="L13" i="1"/>
  <c r="M12" i="1"/>
  <c r="L12" i="1"/>
  <c r="M11" i="1"/>
  <c r="L11" i="1"/>
  <c r="M9" i="1"/>
  <c r="L9" i="1"/>
  <c r="M8" i="1"/>
  <c r="L8" i="1"/>
  <c r="M7" i="1"/>
  <c r="M5" i="1"/>
  <c r="L5" i="1"/>
  <c r="M4" i="1"/>
  <c r="M3" i="1"/>
  <c r="B37" i="1"/>
  <c r="A37" i="1"/>
  <c r="B36" i="1"/>
  <c r="A36" i="1"/>
  <c r="B35" i="1"/>
  <c r="A35" i="1"/>
  <c r="B33" i="1"/>
  <c r="A33" i="1"/>
  <c r="B32" i="1"/>
  <c r="A32" i="1"/>
  <c r="B31" i="1"/>
  <c r="A31" i="1"/>
  <c r="B29" i="1"/>
  <c r="A29" i="1"/>
  <c r="B28" i="1"/>
  <c r="A28" i="1"/>
  <c r="B27" i="1"/>
  <c r="A27" i="1"/>
  <c r="B25" i="1"/>
  <c r="A25" i="1"/>
  <c r="B24" i="1"/>
  <c r="A24" i="1"/>
  <c r="B23" i="1"/>
  <c r="A23" i="1"/>
  <c r="B21" i="1"/>
  <c r="A21" i="1"/>
  <c r="B20" i="1"/>
  <c r="A20" i="1"/>
  <c r="B19" i="1"/>
  <c r="A19" i="1"/>
  <c r="B17" i="1"/>
  <c r="A17" i="1"/>
  <c r="B16" i="1"/>
  <c r="A16" i="1"/>
  <c r="B15" i="1"/>
  <c r="A15" i="1"/>
  <c r="B13" i="1"/>
  <c r="A13" i="1"/>
  <c r="B12" i="1"/>
  <c r="A12" i="1"/>
  <c r="B11" i="1"/>
  <c r="A11" i="1"/>
  <c r="A8" i="1"/>
  <c r="B8" i="1"/>
  <c r="A9" i="1"/>
  <c r="B9" i="1"/>
  <c r="B7" i="1"/>
  <c r="A7" i="1"/>
  <c r="A4" i="1"/>
  <c r="B4" i="1"/>
  <c r="A5" i="1"/>
  <c r="B5" i="1"/>
  <c r="B3" i="1"/>
  <c r="A3" i="1"/>
</calcChain>
</file>

<file path=xl/sharedStrings.xml><?xml version="1.0" encoding="utf-8"?>
<sst xmlns="http://schemas.openxmlformats.org/spreadsheetml/2006/main" count="148" uniqueCount="18">
  <si>
    <t>Av All</t>
  </si>
  <si>
    <t>SD</t>
  </si>
  <si>
    <t>Ezrin</t>
  </si>
  <si>
    <t>CD44</t>
  </si>
  <si>
    <t>eIF4E</t>
  </si>
  <si>
    <t>Mcl1</t>
  </si>
  <si>
    <t>PGM5</t>
  </si>
  <si>
    <t>UAP1</t>
  </si>
  <si>
    <t>UGDH</t>
  </si>
  <si>
    <t>HAS3</t>
  </si>
  <si>
    <t>Hx2</t>
  </si>
  <si>
    <t>siLucSusp</t>
  </si>
  <si>
    <t>siEzrSusp</t>
  </si>
  <si>
    <t>si4ESusp</t>
  </si>
  <si>
    <t>siLucInv</t>
  </si>
  <si>
    <t>siEzrInv</t>
  </si>
  <si>
    <t>si4EInv</t>
  </si>
  <si>
    <t>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</si>
</sst>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8" tint="-0.499984740745262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2" fontId="1" fillId="0" borderId="0" xfId="0" applyNumberFormat="1" applyFont="1"/>
    <xf numFmtId="2" fontId="3" fillId="2" borderId="0" xfId="0" applyNumberFormat="1" applyFont="1" applyFill="1"/>
    <xf numFmtId="0" fontId="0" fillId="2" borderId="0" xfId="0" applyFill="1"/>
    <xf numFmtId="0" fontId="4" fillId="0" borderId="0" xfId="0" applyFont="1"/>
    <xf numFmtId="0" fontId="3" fillId="2" borderId="0" xfId="0" applyFont="1" applyFill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C570F-481F-4E15-9485-560F84780159}">
  <dimension ref="A1:G31"/>
  <sheetViews>
    <sheetView tabSelected="1" workbookViewId="0">
      <selection activeCell="C29" sqref="C29"/>
    </sheetView>
  </sheetViews>
  <sheetFormatPr defaultRowHeight="15" x14ac:dyDescent="0.25"/>
  <cols>
    <col min="1" max="16384" width="9.140625" style="10"/>
  </cols>
  <sheetData>
    <row r="1" spans="1:7" x14ac:dyDescent="0.25">
      <c r="A1" s="10" t="s">
        <v>17</v>
      </c>
      <c r="B1" s="10" t="s">
        <v>11</v>
      </c>
      <c r="C1" s="10" t="s">
        <v>12</v>
      </c>
      <c r="D1" s="10" t="s">
        <v>13</v>
      </c>
      <c r="E1" s="10" t="s">
        <v>14</v>
      </c>
      <c r="F1" s="10" t="s">
        <v>15</v>
      </c>
      <c r="G1" s="10" t="s">
        <v>16</v>
      </c>
    </row>
    <row r="2" spans="1:7" x14ac:dyDescent="0.25">
      <c r="A2" s="10" t="s">
        <v>2</v>
      </c>
      <c r="B2" s="10">
        <v>1</v>
      </c>
      <c r="C2" s="10">
        <v>1.6999368841807083E-2</v>
      </c>
      <c r="D2" s="10">
        <v>0.33004778499002602</v>
      </c>
      <c r="E2" s="10">
        <v>1</v>
      </c>
      <c r="F2" s="10">
        <v>3.1012005738536359E-2</v>
      </c>
      <c r="G2" s="10">
        <v>0.30905996390329871</v>
      </c>
    </row>
    <row r="3" spans="1:7" x14ac:dyDescent="0.25">
      <c r="A3" s="10" t="s">
        <v>2</v>
      </c>
      <c r="B3" s="10">
        <v>1</v>
      </c>
      <c r="D3" s="10">
        <v>0.63232709895258121</v>
      </c>
      <c r="E3" s="10">
        <v>1</v>
      </c>
      <c r="F3" s="10">
        <v>9.0949508575251768E-3</v>
      </c>
      <c r="G3" s="10">
        <v>0.90977551169656423</v>
      </c>
    </row>
    <row r="4" spans="1:7" x14ac:dyDescent="0.25">
      <c r="A4" s="10" t="s">
        <v>2</v>
      </c>
      <c r="B4" s="10">
        <v>1</v>
      </c>
      <c r="C4" s="10">
        <v>3.0234622735254752E-2</v>
      </c>
      <c r="D4" s="10">
        <v>0.5951458473108675</v>
      </c>
      <c r="E4" s="10">
        <v>1</v>
      </c>
      <c r="F4" s="10">
        <v>0.10931470941380045</v>
      </c>
      <c r="G4" s="10">
        <v>0.79174534107003502</v>
      </c>
    </row>
    <row r="5" spans="1:7" x14ac:dyDescent="0.25">
      <c r="A5" s="10" t="s">
        <v>2</v>
      </c>
      <c r="B5" s="10">
        <v>1</v>
      </c>
      <c r="C5" s="10">
        <v>1E-3</v>
      </c>
      <c r="D5" s="10">
        <v>0.56251774688724121</v>
      </c>
      <c r="E5" s="10">
        <v>1</v>
      </c>
      <c r="F5" s="10">
        <v>8.1217141915271282E-2</v>
      </c>
      <c r="G5" s="10">
        <v>0.82110766476527641</v>
      </c>
    </row>
    <row r="6" spans="1:7" x14ac:dyDescent="0.25">
      <c r="A6" s="10" t="s">
        <v>3</v>
      </c>
      <c r="B6" s="10">
        <v>1</v>
      </c>
      <c r="C6" s="10">
        <v>0.59743490399531829</v>
      </c>
      <c r="D6" s="10">
        <v>0.3865284986713956</v>
      </c>
      <c r="E6" s="10">
        <v>1</v>
      </c>
      <c r="F6" s="10">
        <v>0.43815533811084439</v>
      </c>
      <c r="G6" s="10">
        <v>0.15678568137778962</v>
      </c>
    </row>
    <row r="7" spans="1:7" x14ac:dyDescent="0.25">
      <c r="A7" s="10" t="s">
        <v>3</v>
      </c>
      <c r="B7" s="10">
        <v>1</v>
      </c>
      <c r="C7" s="10">
        <v>0.60047698403151639</v>
      </c>
      <c r="D7" s="10">
        <v>0.49141016159665546</v>
      </c>
      <c r="E7" s="10">
        <v>1</v>
      </c>
      <c r="F7" s="10">
        <v>0.43479411356217457</v>
      </c>
      <c r="G7" s="10">
        <v>0.38530090122254207</v>
      </c>
    </row>
    <row r="8" spans="1:7" x14ac:dyDescent="0.25">
      <c r="A8" s="10" t="s">
        <v>3</v>
      </c>
      <c r="B8" s="10">
        <v>1</v>
      </c>
      <c r="C8" s="10">
        <v>1.1384756718251918</v>
      </c>
      <c r="D8" s="10">
        <v>0.57724856636556432</v>
      </c>
      <c r="E8" s="10">
        <v>1</v>
      </c>
      <c r="F8" s="10">
        <v>0.83788093413161713</v>
      </c>
      <c r="G8" s="10">
        <v>0.59606244631471939</v>
      </c>
    </row>
    <row r="9" spans="1:7" x14ac:dyDescent="0.25">
      <c r="A9" s="10" t="s">
        <v>3</v>
      </c>
      <c r="B9" s="10">
        <v>1</v>
      </c>
      <c r="C9" s="10">
        <v>0.68559569971579881</v>
      </c>
      <c r="D9" s="10">
        <v>0.40919288523567227</v>
      </c>
      <c r="E9" s="10">
        <v>1</v>
      </c>
      <c r="F9" s="10">
        <v>0.63999518000863098</v>
      </c>
      <c r="G9" s="10">
        <v>0.55874069545075333</v>
      </c>
    </row>
    <row r="10" spans="1:7" x14ac:dyDescent="0.25">
      <c r="A10" s="10" t="s">
        <v>3</v>
      </c>
      <c r="B10" s="10">
        <v>1</v>
      </c>
      <c r="C10" s="10">
        <v>0.70275696890198036</v>
      </c>
    </row>
    <row r="11" spans="1:7" x14ac:dyDescent="0.25">
      <c r="A11" s="10" t="s">
        <v>4</v>
      </c>
      <c r="B11" s="10">
        <v>1</v>
      </c>
      <c r="C11" s="10">
        <v>0.67761303764662351</v>
      </c>
      <c r="D11" s="10">
        <v>0.50988870071835668</v>
      </c>
      <c r="E11" s="10">
        <v>1</v>
      </c>
      <c r="F11" s="10">
        <v>0.84924538277465011</v>
      </c>
      <c r="G11" s="10">
        <v>0.27730570572628993</v>
      </c>
    </row>
    <row r="12" spans="1:7" x14ac:dyDescent="0.25">
      <c r="A12" s="10" t="s">
        <v>4</v>
      </c>
      <c r="B12" s="10">
        <v>1</v>
      </c>
      <c r="C12" s="10">
        <v>0.74589869672212228</v>
      </c>
      <c r="D12" s="10">
        <v>0.19397711990258984</v>
      </c>
      <c r="E12" s="10">
        <v>1</v>
      </c>
      <c r="F12" s="10">
        <v>1.0595490253785196</v>
      </c>
      <c r="G12" s="10">
        <v>0.35294227153436919</v>
      </c>
    </row>
    <row r="13" spans="1:7" x14ac:dyDescent="0.25">
      <c r="A13" s="10" t="s">
        <v>4</v>
      </c>
      <c r="B13" s="10">
        <v>1</v>
      </c>
      <c r="C13" s="10">
        <v>0.8801920396382219</v>
      </c>
      <c r="D13" s="10">
        <v>0.23124714228534946</v>
      </c>
      <c r="E13" s="10">
        <v>1</v>
      </c>
      <c r="F13" s="10">
        <v>1.1323942231434545</v>
      </c>
      <c r="G13" s="10">
        <v>0.31296779126065871</v>
      </c>
    </row>
    <row r="14" spans="1:7" x14ac:dyDescent="0.25">
      <c r="A14" s="10" t="s">
        <v>4</v>
      </c>
      <c r="B14" s="10">
        <v>1</v>
      </c>
      <c r="C14" s="10">
        <v>1.0903744504571917</v>
      </c>
      <c r="D14" s="10">
        <v>0.42976389827600719</v>
      </c>
      <c r="E14" s="10">
        <v>1</v>
      </c>
      <c r="F14" s="10">
        <v>0.97476547412059134</v>
      </c>
      <c r="G14" s="10">
        <v>0.32809994483448174</v>
      </c>
    </row>
    <row r="15" spans="1:7" x14ac:dyDescent="0.25">
      <c r="A15" s="10" t="s">
        <v>4</v>
      </c>
      <c r="B15" s="10">
        <v>1</v>
      </c>
      <c r="C15" s="10">
        <v>0.86010748163357043</v>
      </c>
      <c r="D15" s="10">
        <v>0.25951012959473357</v>
      </c>
    </row>
    <row r="16" spans="1:7" x14ac:dyDescent="0.25">
      <c r="A16" s="10" t="s">
        <v>5</v>
      </c>
      <c r="B16" s="10">
        <v>1</v>
      </c>
      <c r="C16" s="10">
        <v>0.61454908208410297</v>
      </c>
      <c r="E16" s="10">
        <v>1</v>
      </c>
      <c r="F16" s="10">
        <v>1.0428360800258902</v>
      </c>
      <c r="G16" s="10">
        <v>0.96182372098266034</v>
      </c>
    </row>
    <row r="17" spans="1:7" x14ac:dyDescent="0.25">
      <c r="A17" s="10" t="s">
        <v>5</v>
      </c>
      <c r="B17" s="10">
        <v>1</v>
      </c>
      <c r="C17" s="10">
        <v>0.19836984482801256</v>
      </c>
      <c r="D17" s="10">
        <v>0.44169065470986763</v>
      </c>
      <c r="E17" s="10">
        <v>1</v>
      </c>
      <c r="F17" s="10">
        <v>0.83620398237965898</v>
      </c>
      <c r="G17" s="10">
        <v>0.77998655530462024</v>
      </c>
    </row>
    <row r="18" spans="1:7" x14ac:dyDescent="0.25">
      <c r="A18" s="10" t="s">
        <v>5</v>
      </c>
      <c r="B18" s="10">
        <v>1</v>
      </c>
      <c r="C18" s="10">
        <v>0.4641467108547378</v>
      </c>
      <c r="D18" s="10">
        <v>0.58953614845860647</v>
      </c>
      <c r="E18" s="10">
        <v>1</v>
      </c>
      <c r="F18" s="10">
        <v>1.0290762233038901</v>
      </c>
      <c r="G18" s="10">
        <v>0.71976898129871725</v>
      </c>
    </row>
    <row r="19" spans="1:7" x14ac:dyDescent="0.25">
      <c r="A19" s="10" t="s">
        <v>5</v>
      </c>
      <c r="B19" s="10">
        <v>1</v>
      </c>
      <c r="C19" s="10">
        <v>0.26932049661953938</v>
      </c>
      <c r="D19" s="10">
        <v>0.56251277540313016</v>
      </c>
      <c r="E19" s="10">
        <v>1</v>
      </c>
      <c r="F19" s="10">
        <v>1.1252446846798621</v>
      </c>
      <c r="G19" s="10">
        <v>0.88825016151464109</v>
      </c>
    </row>
    <row r="20" spans="1:7" x14ac:dyDescent="0.25">
      <c r="A20" s="10" t="s">
        <v>6</v>
      </c>
      <c r="B20" s="10">
        <v>1</v>
      </c>
      <c r="C20" s="10">
        <v>0.62870814215834725</v>
      </c>
      <c r="E20" s="10">
        <v>1</v>
      </c>
      <c r="F20" s="10">
        <v>0.37670914947522854</v>
      </c>
      <c r="G20" s="10">
        <v>8.8361632248277547E-2</v>
      </c>
    </row>
    <row r="21" spans="1:7" x14ac:dyDescent="0.25">
      <c r="A21" s="10" t="s">
        <v>6</v>
      </c>
      <c r="B21" s="10">
        <v>1</v>
      </c>
      <c r="C21" s="10">
        <v>0.34100988717269431</v>
      </c>
      <c r="D21" s="10">
        <v>0.37284593180684483</v>
      </c>
      <c r="E21" s="10">
        <v>1</v>
      </c>
      <c r="F21" s="10">
        <v>0.90385903868900075</v>
      </c>
      <c r="G21" s="10">
        <v>0.16700563010043853</v>
      </c>
    </row>
    <row r="22" spans="1:7" x14ac:dyDescent="0.25">
      <c r="A22" s="10" t="s">
        <v>6</v>
      </c>
      <c r="B22" s="10">
        <v>1</v>
      </c>
      <c r="C22" s="10">
        <v>0.57375487916853729</v>
      </c>
      <c r="D22" s="10">
        <v>0.54432938442724865</v>
      </c>
      <c r="E22" s="10">
        <v>1</v>
      </c>
      <c r="F22" s="10">
        <v>0.86424578347925296</v>
      </c>
      <c r="G22" s="10">
        <v>0.65839362522394629</v>
      </c>
    </row>
    <row r="23" spans="1:7" x14ac:dyDescent="0.25">
      <c r="A23" s="10" t="s">
        <v>6</v>
      </c>
      <c r="B23" s="10">
        <v>1</v>
      </c>
      <c r="C23" s="10">
        <v>0.51985267877339314</v>
      </c>
      <c r="D23" s="10">
        <v>0.94201491720075825</v>
      </c>
    </row>
    <row r="24" spans="1:7" x14ac:dyDescent="0.25">
      <c r="A24" s="10" t="s">
        <v>7</v>
      </c>
      <c r="B24" s="10">
        <v>1</v>
      </c>
      <c r="C24" s="10">
        <v>0.66889212172321288</v>
      </c>
      <c r="D24" s="10">
        <v>0.4870253563313745</v>
      </c>
      <c r="E24" s="10">
        <v>1</v>
      </c>
      <c r="F24" s="10">
        <v>0.23658442767267349</v>
      </c>
      <c r="G24" s="10">
        <v>8.4456827200094522E-2</v>
      </c>
    </row>
    <row r="25" spans="1:7" x14ac:dyDescent="0.25">
      <c r="A25" s="10" t="s">
        <v>8</v>
      </c>
      <c r="B25" s="10">
        <v>1</v>
      </c>
      <c r="C25" s="10">
        <v>1.0835952388078398</v>
      </c>
      <c r="D25" s="10">
        <v>0.31025701666484579</v>
      </c>
      <c r="E25" s="10">
        <v>1</v>
      </c>
      <c r="F25" s="10">
        <v>0.94337897911245872</v>
      </c>
      <c r="G25" s="10">
        <v>0.18293786854317437</v>
      </c>
    </row>
    <row r="26" spans="1:7" x14ac:dyDescent="0.25">
      <c r="A26" s="10" t="s">
        <v>8</v>
      </c>
      <c r="B26" s="10">
        <v>1</v>
      </c>
      <c r="C26" s="10">
        <v>6.5826708745290771E-2</v>
      </c>
      <c r="D26" s="10">
        <v>0.10082168333096202</v>
      </c>
      <c r="E26" s="10">
        <v>1</v>
      </c>
      <c r="F26" s="10">
        <v>0.77988447732036281</v>
      </c>
      <c r="G26" s="10">
        <v>0.33640114688340061</v>
      </c>
    </row>
    <row r="27" spans="1:7" x14ac:dyDescent="0.25">
      <c r="A27" s="10" t="s">
        <v>8</v>
      </c>
      <c r="B27" s="10">
        <v>1</v>
      </c>
      <c r="C27" s="10">
        <v>1.0971896536116272</v>
      </c>
      <c r="D27" s="10">
        <v>0.75427694562669423</v>
      </c>
      <c r="E27" s="10">
        <v>1</v>
      </c>
      <c r="F27" s="10">
        <v>0.88327037300611189</v>
      </c>
      <c r="G27" s="10">
        <v>0.63728436336034733</v>
      </c>
    </row>
    <row r="28" spans="1:7" x14ac:dyDescent="0.25">
      <c r="A28" s="10" t="s">
        <v>9</v>
      </c>
      <c r="E28" s="10">
        <v>1</v>
      </c>
      <c r="F28" s="10">
        <v>0.73649564595908457</v>
      </c>
      <c r="G28" s="10">
        <v>0.5775775133253559</v>
      </c>
    </row>
    <row r="29" spans="1:7" x14ac:dyDescent="0.25">
      <c r="A29" s="10" t="s">
        <v>9</v>
      </c>
      <c r="E29" s="10">
        <v>1</v>
      </c>
      <c r="F29" s="10">
        <v>0.91211408239875913</v>
      </c>
      <c r="G29" s="10">
        <v>0.63098737524459603</v>
      </c>
    </row>
    <row r="30" spans="1:7" x14ac:dyDescent="0.25">
      <c r="A30" s="10" t="s">
        <v>9</v>
      </c>
      <c r="E30" s="10">
        <v>1</v>
      </c>
      <c r="F30" s="10">
        <v>0.81876926781818227</v>
      </c>
      <c r="G30" s="10">
        <v>0.62468287910774101</v>
      </c>
    </row>
    <row r="31" spans="1:7" x14ac:dyDescent="0.25">
      <c r="A31" s="10" t="s">
        <v>10</v>
      </c>
      <c r="B31" s="10">
        <v>1</v>
      </c>
      <c r="C31" s="10">
        <v>0.97327489528759348</v>
      </c>
      <c r="D31" s="10">
        <v>0.63023871314477486</v>
      </c>
      <c r="E31" s="10">
        <v>1</v>
      </c>
      <c r="F31" s="10">
        <v>1.0737328949318234</v>
      </c>
      <c r="G31" s="10">
        <v>0.66207308820366551</v>
      </c>
    </row>
  </sheetData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C9D16-28E6-42B1-9238-4FBEF439D5F8}">
  <dimension ref="A2:AB45"/>
  <sheetViews>
    <sheetView topLeftCell="A9" workbookViewId="0">
      <selection activeCell="A16" sqref="A16"/>
    </sheetView>
  </sheetViews>
  <sheetFormatPr defaultRowHeight="15" x14ac:dyDescent="0.25"/>
  <cols>
    <col min="1" max="16384" width="9.140625" style="10"/>
  </cols>
  <sheetData>
    <row r="2" spans="1:28" x14ac:dyDescent="0.25">
      <c r="B2" s="10" t="s">
        <v>2</v>
      </c>
      <c r="F2" s="10" t="s">
        <v>3</v>
      </c>
      <c r="K2" s="10" t="s">
        <v>4</v>
      </c>
      <c r="P2" s="10" t="s">
        <v>5</v>
      </c>
      <c r="T2" s="10" t="s">
        <v>6</v>
      </c>
      <c r="X2" s="10" t="s">
        <v>7</v>
      </c>
      <c r="Y2" s="10" t="s">
        <v>8</v>
      </c>
      <c r="AB2" s="10" t="s">
        <v>10</v>
      </c>
    </row>
    <row r="3" spans="1:28" x14ac:dyDescent="0.25">
      <c r="A3" s="10" t="s">
        <v>11</v>
      </c>
      <c r="B3" s="10">
        <v>1</v>
      </c>
      <c r="C3" s="10">
        <v>1</v>
      </c>
      <c r="D3" s="10">
        <v>1</v>
      </c>
      <c r="E3" s="10">
        <v>1</v>
      </c>
      <c r="F3" s="10">
        <v>1</v>
      </c>
      <c r="G3" s="10">
        <v>1</v>
      </c>
      <c r="H3" s="10">
        <v>1</v>
      </c>
      <c r="I3" s="10">
        <v>1</v>
      </c>
      <c r="J3" s="10">
        <v>1</v>
      </c>
      <c r="K3" s="10">
        <v>1</v>
      </c>
      <c r="L3" s="10">
        <v>1</v>
      </c>
      <c r="M3" s="10">
        <v>1</v>
      </c>
      <c r="N3" s="10">
        <v>1</v>
      </c>
      <c r="O3" s="10">
        <v>1</v>
      </c>
      <c r="P3" s="10">
        <v>1</v>
      </c>
      <c r="Q3" s="10">
        <v>1</v>
      </c>
      <c r="R3" s="10">
        <v>1</v>
      </c>
      <c r="S3" s="10">
        <v>1</v>
      </c>
      <c r="T3" s="10">
        <v>1</v>
      </c>
      <c r="U3" s="10">
        <v>1</v>
      </c>
      <c r="V3" s="10">
        <v>1</v>
      </c>
      <c r="W3" s="10">
        <v>1</v>
      </c>
      <c r="X3" s="10">
        <v>1</v>
      </c>
      <c r="Y3" s="10">
        <v>1</v>
      </c>
      <c r="Z3" s="10">
        <v>1</v>
      </c>
      <c r="AA3" s="10">
        <v>1</v>
      </c>
      <c r="AB3" s="10">
        <v>1</v>
      </c>
    </row>
    <row r="4" spans="1:28" x14ac:dyDescent="0.25">
      <c r="A4" s="10" t="s">
        <v>12</v>
      </c>
      <c r="B4" s="10">
        <v>1.6999368841807083E-2</v>
      </c>
      <c r="D4" s="10">
        <v>3.0234622735254752E-2</v>
      </c>
      <c r="E4" s="10">
        <v>1E-3</v>
      </c>
      <c r="F4" s="10">
        <v>0.59743490399531829</v>
      </c>
      <c r="G4" s="10">
        <v>0.60047698403151639</v>
      </c>
      <c r="H4" s="10">
        <v>1.1384756718251918</v>
      </c>
      <c r="I4" s="10">
        <v>0.68559569971579881</v>
      </c>
      <c r="J4" s="10">
        <v>0.70275696890198036</v>
      </c>
      <c r="K4" s="10">
        <v>0.67761303764662351</v>
      </c>
      <c r="L4" s="10">
        <v>0.74589869672212228</v>
      </c>
      <c r="M4" s="10">
        <v>0.8801920396382219</v>
      </c>
      <c r="N4" s="10">
        <v>1.0903744504571917</v>
      </c>
      <c r="O4" s="10">
        <v>0.86010748163357043</v>
      </c>
      <c r="P4" s="10">
        <v>0.61454908208410297</v>
      </c>
      <c r="Q4" s="10">
        <v>0.19836984482801256</v>
      </c>
      <c r="R4" s="10">
        <v>0.4641467108547378</v>
      </c>
      <c r="S4" s="10">
        <v>0.26932049661953938</v>
      </c>
      <c r="T4" s="10">
        <v>0.62870814215834725</v>
      </c>
      <c r="U4" s="10">
        <v>0.34100988717269431</v>
      </c>
      <c r="V4" s="10">
        <v>0.57375487916853729</v>
      </c>
      <c r="W4" s="10">
        <v>0.51985267877339314</v>
      </c>
      <c r="X4" s="10">
        <v>0.66889212172321288</v>
      </c>
      <c r="Y4" s="10">
        <v>1.0835952388078398</v>
      </c>
      <c r="Z4" s="10">
        <v>6.5826708745290771E-2</v>
      </c>
      <c r="AA4" s="10">
        <v>1.0971896536116272</v>
      </c>
      <c r="AB4" s="10">
        <v>0.97327489528759348</v>
      </c>
    </row>
    <row r="5" spans="1:28" x14ac:dyDescent="0.25">
      <c r="A5" s="10" t="s">
        <v>13</v>
      </c>
      <c r="B5" s="10">
        <v>0.33004778499002602</v>
      </c>
      <c r="C5" s="10">
        <v>0.63232709895258121</v>
      </c>
      <c r="D5" s="10">
        <v>0.5951458473108675</v>
      </c>
      <c r="E5" s="10">
        <v>0.56251774688724121</v>
      </c>
      <c r="F5" s="10">
        <v>0.3865284986713956</v>
      </c>
      <c r="G5" s="10">
        <v>0.49141016159665546</v>
      </c>
      <c r="H5" s="10">
        <v>0.57724856636556432</v>
      </c>
      <c r="I5" s="10">
        <v>0.40919288523567227</v>
      </c>
      <c r="K5" s="10">
        <v>0.50988870071835668</v>
      </c>
      <c r="L5" s="10">
        <v>0.19397711990258984</v>
      </c>
      <c r="M5" s="10">
        <v>0.23124714228534946</v>
      </c>
      <c r="N5" s="10">
        <v>0.42976389827600719</v>
      </c>
      <c r="O5" s="10">
        <v>0.25951012959473357</v>
      </c>
      <c r="Q5" s="10">
        <v>0.44169065470986763</v>
      </c>
      <c r="R5" s="10">
        <v>0.58953614845860647</v>
      </c>
      <c r="S5" s="10">
        <v>0.56251277540313016</v>
      </c>
      <c r="U5" s="10">
        <v>0.37284593180684483</v>
      </c>
      <c r="V5" s="10">
        <v>0.54432938442724865</v>
      </c>
      <c r="W5" s="10">
        <v>0.94201491720075825</v>
      </c>
      <c r="X5" s="10">
        <v>0.4870253563313745</v>
      </c>
      <c r="Y5" s="10">
        <v>0.31025701666484579</v>
      </c>
      <c r="Z5" s="10">
        <v>0.10082168333096202</v>
      </c>
      <c r="AA5" s="10">
        <v>0.75427694562669423</v>
      </c>
      <c r="AB5" s="10">
        <v>0.63023871314477486</v>
      </c>
    </row>
    <row r="9" spans="1:28" x14ac:dyDescent="0.25">
      <c r="B9" s="10" t="s">
        <v>2</v>
      </c>
      <c r="F9" s="10" t="s">
        <v>3</v>
      </c>
      <c r="J9" s="10" t="s">
        <v>4</v>
      </c>
      <c r="N9" s="10" t="s">
        <v>5</v>
      </c>
      <c r="R9" s="10" t="s">
        <v>6</v>
      </c>
      <c r="U9" s="10" t="s">
        <v>7</v>
      </c>
      <c r="V9" s="10" t="s">
        <v>8</v>
      </c>
      <c r="Y9" s="10" t="s">
        <v>9</v>
      </c>
      <c r="AB9" s="10" t="s">
        <v>10</v>
      </c>
    </row>
    <row r="10" spans="1:28" x14ac:dyDescent="0.25">
      <c r="A10" s="10" t="s">
        <v>14</v>
      </c>
      <c r="B10" s="10">
        <v>1</v>
      </c>
      <c r="C10" s="10">
        <v>1</v>
      </c>
      <c r="D10" s="10">
        <v>1</v>
      </c>
      <c r="E10" s="10">
        <v>1</v>
      </c>
      <c r="F10" s="10">
        <v>1</v>
      </c>
      <c r="G10" s="10">
        <v>1</v>
      </c>
      <c r="H10" s="10">
        <v>1</v>
      </c>
      <c r="I10" s="10">
        <v>1</v>
      </c>
      <c r="J10" s="10">
        <v>1</v>
      </c>
      <c r="K10" s="10">
        <v>1</v>
      </c>
      <c r="L10" s="10">
        <v>1</v>
      </c>
      <c r="M10" s="10">
        <v>1</v>
      </c>
      <c r="N10" s="10">
        <v>1</v>
      </c>
      <c r="O10" s="10">
        <v>1</v>
      </c>
      <c r="P10" s="10">
        <v>1</v>
      </c>
      <c r="Q10" s="10">
        <v>1</v>
      </c>
      <c r="R10" s="10">
        <v>1</v>
      </c>
      <c r="S10" s="10">
        <v>1</v>
      </c>
      <c r="T10" s="10">
        <v>1</v>
      </c>
      <c r="U10" s="10">
        <v>1</v>
      </c>
      <c r="V10" s="10">
        <v>1</v>
      </c>
      <c r="W10" s="10">
        <v>1</v>
      </c>
      <c r="X10" s="10">
        <v>1</v>
      </c>
      <c r="Y10" s="10">
        <v>1</v>
      </c>
      <c r="Z10" s="10">
        <v>1</v>
      </c>
      <c r="AA10" s="10">
        <v>1</v>
      </c>
      <c r="AB10" s="10">
        <v>1</v>
      </c>
    </row>
    <row r="11" spans="1:28" x14ac:dyDescent="0.25">
      <c r="A11" s="10" t="s">
        <v>15</v>
      </c>
      <c r="B11" s="10">
        <v>3.1012005738536359E-2</v>
      </c>
      <c r="C11" s="10">
        <v>9.0949508575251768E-3</v>
      </c>
      <c r="D11" s="10">
        <v>0.10931470941380045</v>
      </c>
      <c r="E11" s="10">
        <v>8.1217141915271282E-2</v>
      </c>
      <c r="F11" s="10">
        <v>0.43815533811084439</v>
      </c>
      <c r="G11" s="10">
        <v>0.43479411356217457</v>
      </c>
      <c r="H11" s="10">
        <v>0.83788093413161713</v>
      </c>
      <c r="I11" s="10">
        <v>0.63999518000863098</v>
      </c>
      <c r="J11" s="10">
        <v>0.84924538277465011</v>
      </c>
      <c r="K11" s="10">
        <v>1.0595490253785196</v>
      </c>
      <c r="L11" s="10">
        <v>1.1323942231434545</v>
      </c>
      <c r="M11" s="10">
        <v>0.97476547412059134</v>
      </c>
      <c r="N11" s="10">
        <v>1.0428360800258902</v>
      </c>
      <c r="O11" s="10">
        <v>0.83620398237965898</v>
      </c>
      <c r="P11" s="10">
        <v>1.0290762233038901</v>
      </c>
      <c r="Q11" s="10">
        <v>1.1252446846798621</v>
      </c>
      <c r="R11" s="10">
        <v>0.37670914947522854</v>
      </c>
      <c r="S11" s="10">
        <v>0.90385903868900075</v>
      </c>
      <c r="T11" s="10">
        <v>0.86424578347925296</v>
      </c>
      <c r="U11" s="10">
        <v>0.23658442767267349</v>
      </c>
      <c r="V11" s="10">
        <v>0.94337897911245872</v>
      </c>
      <c r="W11" s="10">
        <v>0.77988447732036281</v>
      </c>
      <c r="X11" s="10">
        <v>0.88327037300611189</v>
      </c>
      <c r="Y11" s="10">
        <v>0.73649564595908457</v>
      </c>
      <c r="Z11" s="10">
        <v>0.91211408239875913</v>
      </c>
      <c r="AA11" s="10">
        <v>0.81876926781818227</v>
      </c>
      <c r="AB11" s="10">
        <v>1.0737328949318234</v>
      </c>
    </row>
    <row r="12" spans="1:28" x14ac:dyDescent="0.25">
      <c r="A12" s="10" t="s">
        <v>16</v>
      </c>
      <c r="B12" s="10">
        <v>0.30905996390329871</v>
      </c>
      <c r="C12" s="10">
        <v>0.90977551169656423</v>
      </c>
      <c r="D12" s="10">
        <v>0.79174534107003502</v>
      </c>
      <c r="E12" s="10">
        <v>0.82110766476527641</v>
      </c>
      <c r="F12" s="10">
        <v>0.15678568137778962</v>
      </c>
      <c r="G12" s="10">
        <v>0.38530090122254207</v>
      </c>
      <c r="H12" s="10">
        <v>0.59606244631471939</v>
      </c>
      <c r="I12" s="10">
        <v>0.55874069545075333</v>
      </c>
      <c r="J12" s="10">
        <v>0.27730570572628993</v>
      </c>
      <c r="K12" s="10">
        <v>0.35294227153436919</v>
      </c>
      <c r="L12" s="10">
        <v>0.31296779126065871</v>
      </c>
      <c r="M12" s="10">
        <v>0.32809994483448174</v>
      </c>
      <c r="N12" s="10">
        <v>0.96182372098266034</v>
      </c>
      <c r="O12" s="10">
        <v>0.77998655530462024</v>
      </c>
      <c r="P12" s="10">
        <v>0.71976898129871725</v>
      </c>
      <c r="Q12" s="10">
        <v>0.88825016151464109</v>
      </c>
      <c r="R12" s="10">
        <v>8.8361632248277547E-2</v>
      </c>
      <c r="S12" s="10">
        <v>0.16700563010043853</v>
      </c>
      <c r="T12" s="10">
        <v>0.65839362522394629</v>
      </c>
      <c r="U12" s="10">
        <v>8.4456827200094522E-2</v>
      </c>
      <c r="V12" s="10">
        <v>0.18293786854317437</v>
      </c>
      <c r="W12" s="10">
        <v>0.33640114688340061</v>
      </c>
      <c r="X12" s="10">
        <v>0.63728436336034733</v>
      </c>
      <c r="Y12" s="10">
        <v>0.5775775133253559</v>
      </c>
      <c r="Z12" s="10">
        <v>0.63098737524459603</v>
      </c>
      <c r="AA12" s="10">
        <v>0.62468287910774101</v>
      </c>
      <c r="AB12" s="10">
        <v>0.66207308820366551</v>
      </c>
    </row>
    <row r="15" spans="1:28" x14ac:dyDescent="0.25">
      <c r="B15" s="10" t="s">
        <v>11</v>
      </c>
      <c r="C15" s="10" t="s">
        <v>12</v>
      </c>
      <c r="D15" s="10" t="s">
        <v>13</v>
      </c>
      <c r="E15" s="10" t="s">
        <v>14</v>
      </c>
      <c r="F15" s="10" t="s">
        <v>15</v>
      </c>
      <c r="G15" s="10" t="s">
        <v>16</v>
      </c>
    </row>
    <row r="16" spans="1:28" x14ac:dyDescent="0.25">
      <c r="A16" s="10" t="s">
        <v>2</v>
      </c>
      <c r="B16" s="10">
        <v>1</v>
      </c>
      <c r="C16" s="10">
        <v>1.6999368841807083E-2</v>
      </c>
      <c r="D16" s="10">
        <v>0.33004778499002602</v>
      </c>
      <c r="E16" s="10">
        <v>1</v>
      </c>
      <c r="F16" s="10">
        <v>3.1012005738536359E-2</v>
      </c>
      <c r="G16" s="10">
        <v>0.30905996390329871</v>
      </c>
    </row>
    <row r="17" spans="1:7" x14ac:dyDescent="0.25">
      <c r="B17" s="10">
        <v>1</v>
      </c>
      <c r="D17" s="10">
        <v>0.63232709895258121</v>
      </c>
      <c r="E17" s="10">
        <v>1</v>
      </c>
      <c r="F17" s="10">
        <v>9.0949508575251768E-3</v>
      </c>
      <c r="G17" s="10">
        <v>0.90977551169656423</v>
      </c>
    </row>
    <row r="18" spans="1:7" x14ac:dyDescent="0.25">
      <c r="B18" s="10">
        <v>1</v>
      </c>
      <c r="C18" s="10">
        <v>3.0234622735254752E-2</v>
      </c>
      <c r="D18" s="10">
        <v>0.5951458473108675</v>
      </c>
      <c r="E18" s="10">
        <v>1</v>
      </c>
      <c r="F18" s="10">
        <v>0.10931470941380045</v>
      </c>
      <c r="G18" s="10">
        <v>0.79174534107003502</v>
      </c>
    </row>
    <row r="19" spans="1:7" x14ac:dyDescent="0.25">
      <c r="B19" s="10">
        <v>1</v>
      </c>
      <c r="C19" s="10">
        <v>1E-3</v>
      </c>
      <c r="D19" s="10">
        <v>0.56251774688724121</v>
      </c>
      <c r="E19" s="10">
        <v>1</v>
      </c>
      <c r="F19" s="10">
        <v>8.1217141915271282E-2</v>
      </c>
      <c r="G19" s="10">
        <v>0.82110766476527641</v>
      </c>
    </row>
    <row r="20" spans="1:7" x14ac:dyDescent="0.25">
      <c r="A20" s="10" t="s">
        <v>3</v>
      </c>
      <c r="B20" s="10">
        <v>1</v>
      </c>
      <c r="C20" s="10">
        <v>0.59743490399531829</v>
      </c>
      <c r="D20" s="10">
        <v>0.3865284986713956</v>
      </c>
      <c r="E20" s="10">
        <v>1</v>
      </c>
      <c r="F20" s="10">
        <v>0.43815533811084439</v>
      </c>
      <c r="G20" s="10">
        <v>0.15678568137778962</v>
      </c>
    </row>
    <row r="21" spans="1:7" x14ac:dyDescent="0.25">
      <c r="B21" s="10">
        <v>1</v>
      </c>
      <c r="C21" s="10">
        <v>0.60047698403151639</v>
      </c>
      <c r="D21" s="10">
        <v>0.49141016159665546</v>
      </c>
      <c r="E21" s="10">
        <v>1</v>
      </c>
      <c r="F21" s="10">
        <v>0.43479411356217457</v>
      </c>
      <c r="G21" s="10">
        <v>0.38530090122254207</v>
      </c>
    </row>
    <row r="22" spans="1:7" x14ac:dyDescent="0.25">
      <c r="B22" s="10">
        <v>1</v>
      </c>
      <c r="C22" s="10">
        <v>1.1384756718251918</v>
      </c>
      <c r="D22" s="10">
        <v>0.57724856636556432</v>
      </c>
      <c r="E22" s="10">
        <v>1</v>
      </c>
      <c r="F22" s="10">
        <v>0.83788093413161713</v>
      </c>
      <c r="G22" s="10">
        <v>0.59606244631471939</v>
      </c>
    </row>
    <row r="23" spans="1:7" x14ac:dyDescent="0.25">
      <c r="B23" s="10">
        <v>1</v>
      </c>
      <c r="C23" s="10">
        <v>0.68559569971579881</v>
      </c>
      <c r="D23" s="10">
        <v>0.40919288523567227</v>
      </c>
      <c r="E23" s="10">
        <v>1</v>
      </c>
      <c r="F23" s="10">
        <v>0.63999518000863098</v>
      </c>
      <c r="G23" s="10">
        <v>0.55874069545075333</v>
      </c>
    </row>
    <row r="24" spans="1:7" x14ac:dyDescent="0.25">
      <c r="B24" s="10">
        <v>1</v>
      </c>
      <c r="C24" s="10">
        <v>0.70275696890198036</v>
      </c>
    </row>
    <row r="25" spans="1:7" x14ac:dyDescent="0.25">
      <c r="A25" s="10" t="s">
        <v>4</v>
      </c>
      <c r="B25" s="10">
        <v>1</v>
      </c>
      <c r="C25" s="10">
        <v>0.67761303764662351</v>
      </c>
      <c r="D25" s="10">
        <v>0.50988870071835668</v>
      </c>
      <c r="E25" s="10">
        <v>1</v>
      </c>
      <c r="F25" s="10">
        <v>0.84924538277465011</v>
      </c>
      <c r="G25" s="10">
        <v>0.27730570572628993</v>
      </c>
    </row>
    <row r="26" spans="1:7" x14ac:dyDescent="0.25">
      <c r="B26" s="10">
        <v>1</v>
      </c>
      <c r="C26" s="10">
        <v>0.74589869672212228</v>
      </c>
      <c r="D26" s="10">
        <v>0.19397711990258984</v>
      </c>
      <c r="E26" s="10">
        <v>1</v>
      </c>
      <c r="F26" s="10">
        <v>1.0595490253785196</v>
      </c>
      <c r="G26" s="10">
        <v>0.35294227153436919</v>
      </c>
    </row>
    <row r="27" spans="1:7" x14ac:dyDescent="0.25">
      <c r="B27" s="10">
        <v>1</v>
      </c>
      <c r="C27" s="10">
        <v>0.8801920396382219</v>
      </c>
      <c r="D27" s="10">
        <v>0.23124714228534946</v>
      </c>
      <c r="E27" s="10">
        <v>1</v>
      </c>
      <c r="F27" s="10">
        <v>1.1323942231434545</v>
      </c>
      <c r="G27" s="10">
        <v>0.31296779126065871</v>
      </c>
    </row>
    <row r="28" spans="1:7" x14ac:dyDescent="0.25">
      <c r="B28" s="10">
        <v>1</v>
      </c>
      <c r="C28" s="10">
        <v>1.0903744504571917</v>
      </c>
      <c r="D28" s="10">
        <v>0.42976389827600719</v>
      </c>
      <c r="E28" s="10">
        <v>1</v>
      </c>
      <c r="F28" s="10">
        <v>0.97476547412059134</v>
      </c>
      <c r="G28" s="10">
        <v>0.32809994483448174</v>
      </c>
    </row>
    <row r="29" spans="1:7" x14ac:dyDescent="0.25">
      <c r="B29" s="10">
        <v>1</v>
      </c>
      <c r="C29" s="10">
        <v>0.86010748163357043</v>
      </c>
      <c r="D29" s="10">
        <v>0.25951012959473357</v>
      </c>
    </row>
    <row r="30" spans="1:7" x14ac:dyDescent="0.25">
      <c r="A30" s="10" t="s">
        <v>5</v>
      </c>
      <c r="B30" s="10">
        <v>1</v>
      </c>
      <c r="C30" s="10">
        <v>0.61454908208410297</v>
      </c>
      <c r="E30" s="10">
        <v>1</v>
      </c>
      <c r="F30" s="10">
        <v>1.0428360800258902</v>
      </c>
      <c r="G30" s="10">
        <v>0.96182372098266034</v>
      </c>
    </row>
    <row r="31" spans="1:7" x14ac:dyDescent="0.25">
      <c r="B31" s="10">
        <v>1</v>
      </c>
      <c r="C31" s="10">
        <v>0.19836984482801256</v>
      </c>
      <c r="D31" s="10">
        <v>0.44169065470986763</v>
      </c>
      <c r="E31" s="10">
        <v>1</v>
      </c>
      <c r="F31" s="10">
        <v>0.83620398237965898</v>
      </c>
      <c r="G31" s="10">
        <v>0.77998655530462024</v>
      </c>
    </row>
    <row r="32" spans="1:7" x14ac:dyDescent="0.25">
      <c r="B32" s="10">
        <v>1</v>
      </c>
      <c r="C32" s="10">
        <v>0.4641467108547378</v>
      </c>
      <c r="D32" s="10">
        <v>0.58953614845860647</v>
      </c>
      <c r="E32" s="10">
        <v>1</v>
      </c>
      <c r="F32" s="10">
        <v>1.0290762233038901</v>
      </c>
      <c r="G32" s="10">
        <v>0.71976898129871725</v>
      </c>
    </row>
    <row r="33" spans="1:7" x14ac:dyDescent="0.25">
      <c r="B33" s="10">
        <v>1</v>
      </c>
      <c r="C33" s="10">
        <v>0.26932049661953938</v>
      </c>
      <c r="D33" s="10">
        <v>0.56251277540313016</v>
      </c>
      <c r="E33" s="10">
        <v>1</v>
      </c>
      <c r="F33" s="10">
        <v>1.1252446846798621</v>
      </c>
      <c r="G33" s="10">
        <v>0.88825016151464109</v>
      </c>
    </row>
    <row r="34" spans="1:7" x14ac:dyDescent="0.25">
      <c r="A34" s="10" t="s">
        <v>6</v>
      </c>
      <c r="B34" s="10">
        <v>1</v>
      </c>
      <c r="C34" s="10">
        <v>0.62870814215834725</v>
      </c>
      <c r="E34" s="10">
        <v>1</v>
      </c>
      <c r="F34" s="10">
        <v>0.37670914947522854</v>
      </c>
      <c r="G34" s="10">
        <v>8.8361632248277547E-2</v>
      </c>
    </row>
    <row r="35" spans="1:7" x14ac:dyDescent="0.25">
      <c r="B35" s="10">
        <v>1</v>
      </c>
      <c r="C35" s="10">
        <v>0.34100988717269431</v>
      </c>
      <c r="D35" s="10">
        <v>0.37284593180684483</v>
      </c>
      <c r="E35" s="10">
        <v>1</v>
      </c>
      <c r="F35" s="10">
        <v>0.90385903868900075</v>
      </c>
      <c r="G35" s="10">
        <v>0.16700563010043853</v>
      </c>
    </row>
    <row r="36" spans="1:7" x14ac:dyDescent="0.25">
      <c r="B36" s="10">
        <v>1</v>
      </c>
      <c r="C36" s="10">
        <v>0.57375487916853729</v>
      </c>
      <c r="D36" s="10">
        <v>0.54432938442724865</v>
      </c>
      <c r="E36" s="10">
        <v>1</v>
      </c>
      <c r="F36" s="10">
        <v>0.86424578347925296</v>
      </c>
      <c r="G36" s="10">
        <v>0.65839362522394629</v>
      </c>
    </row>
    <row r="37" spans="1:7" x14ac:dyDescent="0.25">
      <c r="B37" s="10">
        <v>1</v>
      </c>
      <c r="C37" s="10">
        <v>0.51985267877339314</v>
      </c>
      <c r="D37" s="10">
        <v>0.94201491720075825</v>
      </c>
    </row>
    <row r="38" spans="1:7" x14ac:dyDescent="0.25">
      <c r="A38" s="10" t="s">
        <v>7</v>
      </c>
      <c r="B38" s="10">
        <v>1</v>
      </c>
      <c r="C38" s="10">
        <v>0.66889212172321288</v>
      </c>
      <c r="D38" s="10">
        <v>0.4870253563313745</v>
      </c>
      <c r="E38" s="10">
        <v>1</v>
      </c>
      <c r="F38" s="10">
        <v>0.23658442767267349</v>
      </c>
      <c r="G38" s="10">
        <v>8.4456827200094522E-2</v>
      </c>
    </row>
    <row r="39" spans="1:7" x14ac:dyDescent="0.25">
      <c r="A39" s="10" t="s">
        <v>8</v>
      </c>
      <c r="B39" s="10">
        <v>1</v>
      </c>
      <c r="C39" s="10">
        <v>1.0835952388078398</v>
      </c>
      <c r="D39" s="10">
        <v>0.31025701666484579</v>
      </c>
      <c r="E39" s="10">
        <v>1</v>
      </c>
      <c r="F39" s="10">
        <v>0.94337897911245872</v>
      </c>
      <c r="G39" s="10">
        <v>0.18293786854317437</v>
      </c>
    </row>
    <row r="40" spans="1:7" x14ac:dyDescent="0.25">
      <c r="B40" s="10">
        <v>1</v>
      </c>
      <c r="C40" s="10">
        <v>6.5826708745290771E-2</v>
      </c>
      <c r="D40" s="10">
        <v>0.10082168333096202</v>
      </c>
      <c r="E40" s="10">
        <v>1</v>
      </c>
      <c r="F40" s="10">
        <v>0.77988447732036281</v>
      </c>
      <c r="G40" s="10">
        <v>0.33640114688340061</v>
      </c>
    </row>
    <row r="41" spans="1:7" x14ac:dyDescent="0.25">
      <c r="B41" s="10">
        <v>1</v>
      </c>
      <c r="C41" s="10">
        <v>1.0971896536116272</v>
      </c>
      <c r="D41" s="10">
        <v>0.75427694562669423</v>
      </c>
      <c r="E41" s="10">
        <v>1</v>
      </c>
      <c r="F41" s="10">
        <v>0.88327037300611189</v>
      </c>
      <c r="G41" s="10">
        <v>0.63728436336034733</v>
      </c>
    </row>
    <row r="42" spans="1:7" x14ac:dyDescent="0.25">
      <c r="A42" s="10" t="s">
        <v>9</v>
      </c>
      <c r="E42" s="10">
        <v>1</v>
      </c>
      <c r="F42" s="10">
        <v>0.73649564595908457</v>
      </c>
      <c r="G42" s="10">
        <v>0.5775775133253559</v>
      </c>
    </row>
    <row r="43" spans="1:7" x14ac:dyDescent="0.25">
      <c r="E43" s="10">
        <v>1</v>
      </c>
      <c r="F43" s="10">
        <v>0.91211408239875913</v>
      </c>
      <c r="G43" s="10">
        <v>0.63098737524459603</v>
      </c>
    </row>
    <row r="44" spans="1:7" x14ac:dyDescent="0.25">
      <c r="E44" s="10">
        <v>1</v>
      </c>
      <c r="F44" s="10">
        <v>0.81876926781818227</v>
      </c>
      <c r="G44" s="10">
        <v>0.62468287910774101</v>
      </c>
    </row>
    <row r="45" spans="1:7" x14ac:dyDescent="0.25">
      <c r="A45" s="10" t="s">
        <v>10</v>
      </c>
      <c r="B45" s="10">
        <v>1</v>
      </c>
      <c r="C45" s="10">
        <v>0.97327489528759348</v>
      </c>
      <c r="D45" s="10">
        <v>0.63023871314477486</v>
      </c>
      <c r="E45" s="10">
        <v>1</v>
      </c>
      <c r="F45" s="10">
        <v>1.0737328949318234</v>
      </c>
      <c r="G45" s="10">
        <v>0.66207308820366551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8E6CD-87FB-42D6-8B5F-329E347D4610}">
  <dimension ref="A1:R37"/>
  <sheetViews>
    <sheetView workbookViewId="0">
      <selection activeCell="O15" sqref="O15"/>
    </sheetView>
  </sheetViews>
  <sheetFormatPr defaultRowHeight="15" x14ac:dyDescent="0.25"/>
  <cols>
    <col min="1" max="1" width="9.140625" style="1"/>
    <col min="2" max="2" width="8.85546875"/>
    <col min="3" max="3" width="9.140625" style="8"/>
    <col min="12" max="12" width="9.140625" style="1"/>
  </cols>
  <sheetData>
    <row r="1" spans="1:18" x14ac:dyDescent="0.25">
      <c r="A1" s="1" t="s">
        <v>0</v>
      </c>
      <c r="B1" s="2" t="s">
        <v>1</v>
      </c>
      <c r="L1" s="1" t="s">
        <v>0</v>
      </c>
      <c r="M1" s="2" t="s">
        <v>1</v>
      </c>
    </row>
    <row r="2" spans="1:18" x14ac:dyDescent="0.25">
      <c r="D2" s="1" t="s">
        <v>2</v>
      </c>
      <c r="O2" s="1" t="s">
        <v>2</v>
      </c>
    </row>
    <row r="3" spans="1:18" x14ac:dyDescent="0.25">
      <c r="A3" s="3">
        <f>AVERAGE(D3:G3)</f>
        <v>1</v>
      </c>
      <c r="B3">
        <f>STDEV(D3:G3)</f>
        <v>0</v>
      </c>
      <c r="C3" s="9" t="s">
        <v>11</v>
      </c>
      <c r="D3" s="4">
        <v>1</v>
      </c>
      <c r="E3" s="4">
        <v>1</v>
      </c>
      <c r="F3" s="4">
        <v>1</v>
      </c>
      <c r="G3" s="4">
        <v>1</v>
      </c>
      <c r="L3" s="3">
        <f>AVERAGE(O3:R3)</f>
        <v>1</v>
      </c>
      <c r="M3">
        <f>STDEV(O3:R3)</f>
        <v>0</v>
      </c>
      <c r="N3" s="6" t="s">
        <v>14</v>
      </c>
      <c r="O3" s="4">
        <v>1</v>
      </c>
      <c r="P3" s="4">
        <v>1</v>
      </c>
      <c r="Q3" s="4">
        <v>1</v>
      </c>
      <c r="R3" s="4">
        <v>1</v>
      </c>
    </row>
    <row r="4" spans="1:18" x14ac:dyDescent="0.25">
      <c r="A4" s="3">
        <f t="shared" ref="A4:A5" si="0">AVERAGE(D4:G4)</f>
        <v>1.6077997192353945E-2</v>
      </c>
      <c r="B4">
        <f t="shared" ref="B4:B5" si="1">STDEV(D4:G4)</f>
        <v>1.4639073942892718E-2</v>
      </c>
      <c r="C4" s="9" t="s">
        <v>12</v>
      </c>
      <c r="D4" s="4">
        <v>1.6999368841807083E-2</v>
      </c>
      <c r="E4" s="4"/>
      <c r="F4" s="4">
        <v>3.0234622735254752E-2</v>
      </c>
      <c r="G4" s="4">
        <v>1E-3</v>
      </c>
      <c r="L4" s="3">
        <f>AVERAGE(O4:R4)</f>
        <v>5.7659701981283312E-2</v>
      </c>
      <c r="M4">
        <f t="shared" ref="M4:M5" si="2">STDEV(O4:R4)</f>
        <v>4.579602433929221E-2</v>
      </c>
      <c r="N4" s="6" t="s">
        <v>15</v>
      </c>
      <c r="O4" s="4">
        <v>3.1012005738536359E-2</v>
      </c>
      <c r="P4" s="4">
        <v>9.0949508575251768E-3</v>
      </c>
      <c r="Q4" s="4">
        <v>0.10931470941380045</v>
      </c>
      <c r="R4" s="4">
        <v>8.1217141915271282E-2</v>
      </c>
    </row>
    <row r="5" spans="1:18" x14ac:dyDescent="0.25">
      <c r="A5" s="3">
        <f t="shared" si="0"/>
        <v>0.530009619535179</v>
      </c>
      <c r="B5">
        <f t="shared" si="1"/>
        <v>0.13632450058809154</v>
      </c>
      <c r="C5" s="9" t="s">
        <v>13</v>
      </c>
      <c r="D5" s="4">
        <v>0.33004778499002602</v>
      </c>
      <c r="E5" s="4">
        <v>0.63232709895258121</v>
      </c>
      <c r="F5" s="4">
        <v>0.5951458473108675</v>
      </c>
      <c r="G5" s="4">
        <v>0.56251774688724121</v>
      </c>
      <c r="L5" s="3">
        <f t="shared" ref="L5" si="3">AVERAGE(O5:R5)</f>
        <v>0.70792212035879354</v>
      </c>
      <c r="M5">
        <f t="shared" si="2"/>
        <v>0.27060001924112037</v>
      </c>
      <c r="N5" s="6" t="s">
        <v>16</v>
      </c>
      <c r="O5" s="4">
        <v>0.30905996390329871</v>
      </c>
      <c r="P5" s="4">
        <v>0.90977551169656423</v>
      </c>
      <c r="Q5" s="4">
        <v>0.79174534107003502</v>
      </c>
      <c r="R5" s="4">
        <v>0.82110766476527641</v>
      </c>
    </row>
    <row r="6" spans="1:18" x14ac:dyDescent="0.25">
      <c r="D6" s="1" t="s">
        <v>3</v>
      </c>
      <c r="O6" s="1" t="s">
        <v>3</v>
      </c>
    </row>
    <row r="7" spans="1:18" x14ac:dyDescent="0.25">
      <c r="A7" s="3">
        <f>AVERAGE(D7:H7)</f>
        <v>1</v>
      </c>
      <c r="B7">
        <f>STDEV(D7:H7)</f>
        <v>0</v>
      </c>
      <c r="C7" s="9" t="s">
        <v>11</v>
      </c>
      <c r="D7" s="4">
        <v>1</v>
      </c>
      <c r="E7" s="5">
        <v>1</v>
      </c>
      <c r="F7" s="4">
        <v>1</v>
      </c>
      <c r="G7" s="4">
        <v>1</v>
      </c>
      <c r="H7" s="4">
        <v>1</v>
      </c>
      <c r="L7" s="3">
        <f>AVERAGE(O7:S7)</f>
        <v>1</v>
      </c>
      <c r="M7">
        <f>STDEV(O7:S7)</f>
        <v>0</v>
      </c>
      <c r="N7" s="6" t="s">
        <v>14</v>
      </c>
      <c r="O7" s="4">
        <v>1</v>
      </c>
      <c r="P7" s="4">
        <v>1</v>
      </c>
      <c r="Q7" s="4">
        <v>1</v>
      </c>
      <c r="R7" s="7">
        <v>1</v>
      </c>
    </row>
    <row r="8" spans="1:18" x14ac:dyDescent="0.25">
      <c r="A8" s="3">
        <f>AVERAGE(D8:H8)</f>
        <v>0.74494804569396111</v>
      </c>
      <c r="B8">
        <f t="shared" ref="B8:B9" si="4">STDEV(D8:H8)</f>
        <v>0.2251659360861108</v>
      </c>
      <c r="C8" s="9" t="s">
        <v>12</v>
      </c>
      <c r="D8" s="4">
        <v>0.59743490399531829</v>
      </c>
      <c r="E8" s="5">
        <v>0.60047698403151639</v>
      </c>
      <c r="F8" s="4">
        <v>1.1384756718251918</v>
      </c>
      <c r="G8" s="4">
        <v>0.68559569971579881</v>
      </c>
      <c r="H8" s="4">
        <v>0.70275696890198036</v>
      </c>
      <c r="L8" s="3">
        <f>AVERAGE(O8:S8)</f>
        <v>0.58770639145331671</v>
      </c>
      <c r="M8">
        <f t="shared" ref="M8:M9" si="5">STDEV(O8:S8)</f>
        <v>0.19241370489874179</v>
      </c>
      <c r="N8" s="6" t="s">
        <v>15</v>
      </c>
      <c r="O8" s="4">
        <v>0.43815533811084439</v>
      </c>
      <c r="P8" s="4">
        <v>0.43479411356217457</v>
      </c>
      <c r="Q8" s="4">
        <v>0.83788093413161713</v>
      </c>
      <c r="R8" s="7">
        <v>0.63999518000863098</v>
      </c>
    </row>
    <row r="9" spans="1:18" x14ac:dyDescent="0.25">
      <c r="A9" s="3">
        <f t="shared" ref="A9" si="6">AVERAGE(D9:H9)</f>
        <v>0.46609502796732194</v>
      </c>
      <c r="B9">
        <f t="shared" si="4"/>
        <v>8.6726873037855701E-2</v>
      </c>
      <c r="C9" s="9" t="s">
        <v>13</v>
      </c>
      <c r="D9" s="4">
        <v>0.3865284986713956</v>
      </c>
      <c r="E9" s="5">
        <v>0.49141016159665546</v>
      </c>
      <c r="F9" s="4">
        <v>0.57724856636556432</v>
      </c>
      <c r="G9" s="4">
        <v>0.40919288523567227</v>
      </c>
      <c r="H9" s="4"/>
      <c r="L9" s="3">
        <f t="shared" ref="L9" si="7">AVERAGE(O9:S9)</f>
        <v>0.42422243109145108</v>
      </c>
      <c r="M9">
        <f t="shared" si="5"/>
        <v>0.20055045488431436</v>
      </c>
      <c r="N9" s="6" t="s">
        <v>16</v>
      </c>
      <c r="O9" s="4">
        <v>0.15678568137778962</v>
      </c>
      <c r="P9" s="4">
        <v>0.38530090122254207</v>
      </c>
      <c r="Q9" s="4">
        <v>0.59606244631471939</v>
      </c>
      <c r="R9" s="7">
        <v>0.55874069545075333</v>
      </c>
    </row>
    <row r="10" spans="1:18" x14ac:dyDescent="0.25">
      <c r="D10" s="1" t="s">
        <v>4</v>
      </c>
      <c r="O10" s="1" t="s">
        <v>4</v>
      </c>
    </row>
    <row r="11" spans="1:18" x14ac:dyDescent="0.25">
      <c r="A11" s="3">
        <f>AVERAGE(D11:H11)</f>
        <v>1</v>
      </c>
      <c r="B11">
        <f>STDEV(D11:H11)</f>
        <v>0</v>
      </c>
      <c r="C11" s="9" t="s">
        <v>11</v>
      </c>
      <c r="D11" s="4">
        <v>1</v>
      </c>
      <c r="E11" s="4">
        <v>1</v>
      </c>
      <c r="F11" s="4">
        <v>1</v>
      </c>
      <c r="G11" s="4">
        <v>1</v>
      </c>
      <c r="H11" s="4">
        <v>1</v>
      </c>
      <c r="L11" s="3">
        <f>AVERAGE(O11:S11)</f>
        <v>1</v>
      </c>
      <c r="M11">
        <f>STDEV(O11:S11)</f>
        <v>0</v>
      </c>
      <c r="N11" s="6" t="s">
        <v>14</v>
      </c>
      <c r="O11" s="4">
        <v>1</v>
      </c>
      <c r="P11" s="4">
        <v>1</v>
      </c>
      <c r="Q11" s="4">
        <v>1</v>
      </c>
      <c r="R11" s="4">
        <v>1</v>
      </c>
    </row>
    <row r="12" spans="1:18" x14ac:dyDescent="0.25">
      <c r="A12" s="3">
        <f>AVERAGE(D12:H12)</f>
        <v>0.8508371412195459</v>
      </c>
      <c r="B12">
        <f t="shared" ref="B12:B13" si="8">STDEV(D12:H12)</f>
        <v>0.15759476433368333</v>
      </c>
      <c r="C12" s="9" t="s">
        <v>12</v>
      </c>
      <c r="D12" s="4">
        <v>0.67761303764662351</v>
      </c>
      <c r="E12" s="4">
        <v>0.74589869672212228</v>
      </c>
      <c r="F12" s="4">
        <v>0.8801920396382219</v>
      </c>
      <c r="G12" s="4">
        <v>1.0903744504571917</v>
      </c>
      <c r="H12" s="4">
        <v>0.86010748163357043</v>
      </c>
      <c r="L12" s="3">
        <f>AVERAGE(O12:S12)</f>
        <v>1.0039885263543038</v>
      </c>
      <c r="M12">
        <f t="shared" ref="M12:M13" si="9">STDEV(O12:S12)</f>
        <v>0.12162020019510966</v>
      </c>
      <c r="N12" s="6" t="s">
        <v>15</v>
      </c>
      <c r="O12" s="4">
        <v>0.84924538277465011</v>
      </c>
      <c r="P12" s="4">
        <v>1.0595490253785196</v>
      </c>
      <c r="Q12" s="4">
        <v>1.1323942231434545</v>
      </c>
      <c r="R12" s="4">
        <v>0.97476547412059134</v>
      </c>
    </row>
    <row r="13" spans="1:18" x14ac:dyDescent="0.25">
      <c r="A13" s="3">
        <f t="shared" ref="A13" si="10">AVERAGE(D13:H13)</f>
        <v>0.32487739815540734</v>
      </c>
      <c r="B13">
        <f t="shared" si="8"/>
        <v>0.13729962440191576</v>
      </c>
      <c r="C13" s="9" t="s">
        <v>13</v>
      </c>
      <c r="D13" s="4">
        <v>0.50988870071835668</v>
      </c>
      <c r="E13" s="4">
        <v>0.19397711990258984</v>
      </c>
      <c r="F13" s="4">
        <v>0.23124714228534946</v>
      </c>
      <c r="G13" s="4">
        <v>0.42976389827600719</v>
      </c>
      <c r="H13" s="4">
        <v>0.25951012959473357</v>
      </c>
      <c r="L13" s="3">
        <f t="shared" ref="L13" si="11">AVERAGE(O13:S13)</f>
        <v>0.31782892833894988</v>
      </c>
      <c r="M13">
        <f t="shared" si="9"/>
        <v>3.1644919944175974E-2</v>
      </c>
      <c r="N13" s="6" t="s">
        <v>16</v>
      </c>
      <c r="O13" s="4">
        <v>0.27730570572628993</v>
      </c>
      <c r="P13" s="4">
        <v>0.35294227153436919</v>
      </c>
      <c r="Q13" s="4">
        <v>0.31296779126065871</v>
      </c>
      <c r="R13" s="4">
        <v>0.32809994483448174</v>
      </c>
    </row>
    <row r="14" spans="1:18" x14ac:dyDescent="0.25">
      <c r="D14" s="1" t="s">
        <v>5</v>
      </c>
      <c r="O14" s="1" t="s">
        <v>5</v>
      </c>
    </row>
    <row r="15" spans="1:18" x14ac:dyDescent="0.25">
      <c r="A15" s="3">
        <f>AVERAGE(D15:H15)</f>
        <v>1</v>
      </c>
      <c r="B15">
        <f>STDEV(D15:H15)</f>
        <v>0</v>
      </c>
      <c r="C15" s="9" t="s">
        <v>11</v>
      </c>
      <c r="D15" s="4">
        <v>1</v>
      </c>
      <c r="E15" s="4">
        <v>1</v>
      </c>
      <c r="F15" s="4">
        <v>1</v>
      </c>
      <c r="G15" s="4">
        <v>1</v>
      </c>
      <c r="L15" s="3">
        <f>AVERAGE(O15:S15)</f>
        <v>1</v>
      </c>
      <c r="M15">
        <f>STDEV(O15:S15)</f>
        <v>0</v>
      </c>
      <c r="N15" s="6" t="s">
        <v>14</v>
      </c>
      <c r="O15" s="4">
        <v>1</v>
      </c>
      <c r="P15" s="4">
        <v>1</v>
      </c>
      <c r="Q15" s="4">
        <v>1</v>
      </c>
      <c r="R15" s="4">
        <v>1</v>
      </c>
    </row>
    <row r="16" spans="1:18" x14ac:dyDescent="0.25">
      <c r="A16" s="3">
        <f>AVERAGE(D16:H16)</f>
        <v>0.38659653359659818</v>
      </c>
      <c r="B16">
        <f t="shared" ref="B16:B17" si="12">STDEV(D16:H16)</f>
        <v>0.18899678089723068</v>
      </c>
      <c r="C16" s="9" t="s">
        <v>12</v>
      </c>
      <c r="D16" s="4">
        <v>0.61454908208410297</v>
      </c>
      <c r="E16" s="4">
        <v>0.19836984482801256</v>
      </c>
      <c r="F16" s="4">
        <v>0.4641467108547378</v>
      </c>
      <c r="G16" s="4">
        <v>0.26932049661953938</v>
      </c>
      <c r="L16" s="3">
        <f>AVERAGE(O16:S16)</f>
        <v>1.0083402425973254</v>
      </c>
      <c r="M16">
        <f t="shared" ref="M16:M17" si="13">STDEV(O16:S16)</f>
        <v>0.12236214604758859</v>
      </c>
      <c r="N16" s="6" t="s">
        <v>15</v>
      </c>
      <c r="O16" s="4">
        <v>1.0428360800258902</v>
      </c>
      <c r="P16" s="4">
        <v>0.83620398237965898</v>
      </c>
      <c r="Q16" s="4">
        <v>1.0290762233038901</v>
      </c>
      <c r="R16" s="4">
        <v>1.1252446846798621</v>
      </c>
    </row>
    <row r="17" spans="1:18" x14ac:dyDescent="0.25">
      <c r="A17" s="3">
        <f t="shared" ref="A17" si="14">AVERAGE(D17:H17)</f>
        <v>0.5312465261905347</v>
      </c>
      <c r="B17">
        <f t="shared" si="12"/>
        <v>7.8725829689627339E-2</v>
      </c>
      <c r="C17" s="9" t="s">
        <v>13</v>
      </c>
      <c r="D17" s="4"/>
      <c r="E17" s="4">
        <v>0.44169065470986763</v>
      </c>
      <c r="F17" s="4">
        <v>0.58953614845860647</v>
      </c>
      <c r="G17" s="4">
        <v>0.56251277540313016</v>
      </c>
      <c r="L17" s="3">
        <f t="shared" ref="L17" si="15">AVERAGE(O17:S17)</f>
        <v>0.8374573547751597</v>
      </c>
      <c r="M17">
        <f t="shared" si="13"/>
        <v>0.10832104797536843</v>
      </c>
      <c r="N17" s="6" t="s">
        <v>16</v>
      </c>
      <c r="O17" s="4">
        <v>0.96182372098266034</v>
      </c>
      <c r="P17" s="4">
        <v>0.77998655530462024</v>
      </c>
      <c r="Q17" s="4">
        <v>0.71976898129871725</v>
      </c>
      <c r="R17" s="4">
        <v>0.88825016151464109</v>
      </c>
    </row>
    <row r="18" spans="1:18" x14ac:dyDescent="0.25">
      <c r="D18" s="1" t="s">
        <v>6</v>
      </c>
      <c r="O18" s="1" t="s">
        <v>6</v>
      </c>
    </row>
    <row r="19" spans="1:18" x14ac:dyDescent="0.25">
      <c r="A19" s="3">
        <f>AVERAGE(D19:H19)</f>
        <v>1</v>
      </c>
      <c r="B19">
        <f>STDEV(D19:H19)</f>
        <v>0</v>
      </c>
      <c r="C19" s="9" t="s">
        <v>11</v>
      </c>
      <c r="D19" s="4">
        <v>1</v>
      </c>
      <c r="E19" s="4">
        <v>1</v>
      </c>
      <c r="F19" s="4">
        <v>1</v>
      </c>
      <c r="G19" s="4">
        <v>1</v>
      </c>
      <c r="L19" s="3">
        <f>AVERAGE(O19:S19)</f>
        <v>1</v>
      </c>
      <c r="M19">
        <f>STDEV(O19:S19)</f>
        <v>0</v>
      </c>
      <c r="N19" s="6" t="s">
        <v>14</v>
      </c>
      <c r="O19" s="4">
        <v>1</v>
      </c>
      <c r="P19" s="4">
        <v>1</v>
      </c>
      <c r="Q19" s="4">
        <v>1</v>
      </c>
    </row>
    <row r="20" spans="1:18" x14ac:dyDescent="0.25">
      <c r="A20" s="3">
        <f>AVERAGE(D20:H20)</f>
        <v>0.51583139681824297</v>
      </c>
      <c r="B20">
        <f t="shared" ref="B20:B21" si="16">STDEV(D20:H20)</f>
        <v>0.12473307552459241</v>
      </c>
      <c r="C20" s="9" t="s">
        <v>12</v>
      </c>
      <c r="D20" s="4">
        <v>0.62870814215834725</v>
      </c>
      <c r="E20" s="4">
        <v>0.34100988717269431</v>
      </c>
      <c r="F20" s="4">
        <v>0.57375487916853729</v>
      </c>
      <c r="G20" s="4">
        <v>0.51985267877339314</v>
      </c>
      <c r="L20" s="3">
        <f>AVERAGE(O20:S20)</f>
        <v>0.71493799054782736</v>
      </c>
      <c r="M20">
        <f t="shared" ref="M20:M21" si="17">STDEV(O20:S20)</f>
        <v>0.29358365791893659</v>
      </c>
      <c r="N20" s="6" t="s">
        <v>15</v>
      </c>
      <c r="O20" s="4">
        <v>0.37670914947522854</v>
      </c>
      <c r="P20" s="4">
        <v>0.90385903868900075</v>
      </c>
      <c r="Q20" s="4">
        <v>0.86424578347925296</v>
      </c>
    </row>
    <row r="21" spans="1:18" x14ac:dyDescent="0.25">
      <c r="A21" s="3">
        <f t="shared" ref="A21" si="18">AVERAGE(D21:H21)</f>
        <v>0.61973007781161726</v>
      </c>
      <c r="B21">
        <f t="shared" si="16"/>
        <v>0.29197993408060918</v>
      </c>
      <c r="C21" s="9" t="s">
        <v>13</v>
      </c>
      <c r="D21" s="4"/>
      <c r="E21" s="4">
        <v>0.37284593180684483</v>
      </c>
      <c r="F21" s="4">
        <v>0.54432938442724865</v>
      </c>
      <c r="G21" s="4">
        <v>0.94201491720075825</v>
      </c>
      <c r="L21" s="3">
        <f t="shared" ref="L21" si="19">AVERAGE(O21:S21)</f>
        <v>0.30458696252422079</v>
      </c>
      <c r="M21">
        <f t="shared" si="17"/>
        <v>0.30891841241269624</v>
      </c>
      <c r="N21" s="6" t="s">
        <v>16</v>
      </c>
      <c r="O21" s="4">
        <v>8.8361632248277547E-2</v>
      </c>
      <c r="P21" s="4">
        <v>0.16700563010043853</v>
      </c>
      <c r="Q21" s="4">
        <v>0.65839362522394629</v>
      </c>
    </row>
    <row r="22" spans="1:18" x14ac:dyDescent="0.25">
      <c r="D22" s="1" t="s">
        <v>7</v>
      </c>
      <c r="O22" s="1" t="s">
        <v>7</v>
      </c>
    </row>
    <row r="23" spans="1:18" x14ac:dyDescent="0.25">
      <c r="A23" s="3">
        <f>AVERAGE(D23:H23)</f>
        <v>1</v>
      </c>
      <c r="B23" t="e">
        <f>STDEV(D23:H23)</f>
        <v>#DIV/0!</v>
      </c>
      <c r="C23" s="9" t="s">
        <v>11</v>
      </c>
      <c r="D23" s="4">
        <v>1</v>
      </c>
      <c r="L23" s="3">
        <f>AVERAGE(O23:S23)</f>
        <v>1</v>
      </c>
      <c r="M23" t="e">
        <f>STDEV(O23:S23)</f>
        <v>#DIV/0!</v>
      </c>
      <c r="N23" s="6" t="s">
        <v>14</v>
      </c>
      <c r="O23" s="4">
        <v>1</v>
      </c>
      <c r="P23" s="4"/>
    </row>
    <row r="24" spans="1:18" x14ac:dyDescent="0.25">
      <c r="A24" s="3">
        <f>AVERAGE(D24:H24)</f>
        <v>0.66889212172321288</v>
      </c>
      <c r="B24" t="e">
        <f t="shared" ref="B24:B25" si="20">STDEV(D24:H24)</f>
        <v>#DIV/0!</v>
      </c>
      <c r="C24" s="9" t="s">
        <v>12</v>
      </c>
      <c r="D24" s="4">
        <v>0.66889212172321288</v>
      </c>
      <c r="L24" s="3">
        <f>AVERAGE(O24:S24)</f>
        <v>0.23658442767267349</v>
      </c>
      <c r="M24" t="e">
        <f t="shared" ref="M24:M25" si="21">STDEV(O24:S24)</f>
        <v>#DIV/0!</v>
      </c>
      <c r="N24" s="6" t="s">
        <v>15</v>
      </c>
      <c r="O24" s="4">
        <v>0.23658442767267349</v>
      </c>
      <c r="P24" s="4"/>
    </row>
    <row r="25" spans="1:18" x14ac:dyDescent="0.25">
      <c r="A25" s="3">
        <f t="shared" ref="A25" si="22">AVERAGE(D25:H25)</f>
        <v>0.4870253563313745</v>
      </c>
      <c r="B25" t="e">
        <f t="shared" si="20"/>
        <v>#DIV/0!</v>
      </c>
      <c r="C25" s="9" t="s">
        <v>13</v>
      </c>
      <c r="D25" s="4">
        <v>0.4870253563313745</v>
      </c>
      <c r="L25" s="3">
        <f t="shared" ref="L25" si="23">AVERAGE(O25:S25)</f>
        <v>8.4456827200094522E-2</v>
      </c>
      <c r="M25" t="e">
        <f t="shared" si="21"/>
        <v>#DIV/0!</v>
      </c>
      <c r="N25" s="6" t="s">
        <v>16</v>
      </c>
      <c r="O25" s="4">
        <v>8.4456827200094522E-2</v>
      </c>
      <c r="P25" s="4"/>
    </row>
    <row r="26" spans="1:18" x14ac:dyDescent="0.25">
      <c r="D26" s="1" t="s">
        <v>8</v>
      </c>
      <c r="O26" s="1" t="s">
        <v>8</v>
      </c>
    </row>
    <row r="27" spans="1:18" x14ac:dyDescent="0.25">
      <c r="A27" s="3">
        <f>AVERAGE(D27:H27)</f>
        <v>1</v>
      </c>
      <c r="B27">
        <f>STDEV(D27:H27)</f>
        <v>0</v>
      </c>
      <c r="C27" s="9" t="s">
        <v>11</v>
      </c>
      <c r="D27" s="4">
        <v>1</v>
      </c>
      <c r="E27" s="4">
        <v>1</v>
      </c>
      <c r="F27" s="4">
        <v>1</v>
      </c>
      <c r="L27" s="3">
        <f>AVERAGE(O27:S27)</f>
        <v>1</v>
      </c>
      <c r="M27">
        <f>STDEV(O27:S27)</f>
        <v>0</v>
      </c>
      <c r="N27" s="6" t="s">
        <v>14</v>
      </c>
      <c r="O27" s="4">
        <v>1</v>
      </c>
      <c r="P27" s="4">
        <v>1</v>
      </c>
      <c r="Q27" s="4">
        <v>1</v>
      </c>
    </row>
    <row r="28" spans="1:18" x14ac:dyDescent="0.25">
      <c r="A28" s="3">
        <f>AVERAGE(D28:H28)</f>
        <v>0.74887053372158585</v>
      </c>
      <c r="B28">
        <f t="shared" ref="B28:B29" si="24">STDEV(D28:H28)</f>
        <v>0.59157235580878054</v>
      </c>
      <c r="C28" s="9" t="s">
        <v>12</v>
      </c>
      <c r="D28" s="4">
        <v>1.0835952388078398</v>
      </c>
      <c r="E28" s="4">
        <v>6.5826708745290771E-2</v>
      </c>
      <c r="F28" s="4">
        <v>1.0971896536116272</v>
      </c>
      <c r="L28" s="3">
        <f>AVERAGE(O28:S28)</f>
        <v>0.86884460981297773</v>
      </c>
      <c r="M28">
        <f t="shared" ref="M28:M29" si="25">STDEV(O28:S28)</f>
        <v>8.2696372422493225E-2</v>
      </c>
      <c r="N28" s="6" t="s">
        <v>15</v>
      </c>
      <c r="O28" s="4">
        <v>0.94337897911245872</v>
      </c>
      <c r="P28" s="4">
        <v>0.77988447732036281</v>
      </c>
      <c r="Q28" s="4">
        <v>0.88327037300611189</v>
      </c>
    </row>
    <row r="29" spans="1:18" x14ac:dyDescent="0.25">
      <c r="A29" s="3">
        <f t="shared" ref="A29" si="26">AVERAGE(D29:H29)</f>
        <v>0.38845188187416735</v>
      </c>
      <c r="B29">
        <f t="shared" si="24"/>
        <v>0.33367165397187104</v>
      </c>
      <c r="C29" s="9" t="s">
        <v>13</v>
      </c>
      <c r="D29" s="4">
        <v>0.31025701666484579</v>
      </c>
      <c r="E29" s="4">
        <v>0.10082168333096202</v>
      </c>
      <c r="F29" s="4">
        <v>0.75427694562669423</v>
      </c>
      <c r="L29" s="3">
        <f t="shared" ref="L29" si="27">AVERAGE(O29:S29)</f>
        <v>0.38554112626230747</v>
      </c>
      <c r="M29">
        <f t="shared" si="25"/>
        <v>0.23112493919562715</v>
      </c>
      <c r="N29" s="6" t="s">
        <v>16</v>
      </c>
      <c r="O29" s="4">
        <v>0.18293786854317437</v>
      </c>
      <c r="P29" s="4">
        <v>0.33640114688340061</v>
      </c>
      <c r="Q29" s="4">
        <v>0.63728436336034733</v>
      </c>
    </row>
    <row r="30" spans="1:18" x14ac:dyDescent="0.25">
      <c r="D30" s="1" t="s">
        <v>9</v>
      </c>
      <c r="O30" s="1" t="s">
        <v>9</v>
      </c>
    </row>
    <row r="31" spans="1:18" x14ac:dyDescent="0.25">
      <c r="A31" s="3" t="e">
        <f>AVERAGE(D31:H31)</f>
        <v>#DIV/0!</v>
      </c>
      <c r="B31" t="e">
        <f>STDEV(D31:H31)</f>
        <v>#DIV/0!</v>
      </c>
      <c r="L31" s="3">
        <f>AVERAGE(O31:S31)</f>
        <v>1</v>
      </c>
      <c r="M31">
        <f>STDEV(O31:S31)</f>
        <v>0</v>
      </c>
      <c r="N31" s="6" t="s">
        <v>14</v>
      </c>
      <c r="O31" s="4">
        <v>1</v>
      </c>
      <c r="P31" s="4">
        <v>1</v>
      </c>
      <c r="Q31" s="4">
        <v>1</v>
      </c>
    </row>
    <row r="32" spans="1:18" x14ac:dyDescent="0.25">
      <c r="A32" s="3" t="e">
        <f>AVERAGE(D32:H32)</f>
        <v>#DIV/0!</v>
      </c>
      <c r="B32" t="e">
        <f t="shared" ref="B32:B33" si="28">STDEV(D32:H32)</f>
        <v>#DIV/0!</v>
      </c>
      <c r="L32" s="3">
        <f>AVERAGE(O32:S32)</f>
        <v>0.82245966539200877</v>
      </c>
      <c r="M32">
        <f t="shared" ref="M32:M33" si="29">STDEV(O32:S32)</f>
        <v>8.7867360720967833E-2</v>
      </c>
      <c r="N32" s="6" t="s">
        <v>15</v>
      </c>
      <c r="O32" s="4">
        <v>0.73649564595908457</v>
      </c>
      <c r="P32" s="4">
        <v>0.91211408239875913</v>
      </c>
      <c r="Q32" s="4">
        <v>0.81876926781818227</v>
      </c>
    </row>
    <row r="33" spans="1:17" x14ac:dyDescent="0.25">
      <c r="A33" s="3" t="e">
        <f t="shared" ref="A33" si="30">AVERAGE(D33:H33)</f>
        <v>#DIV/0!</v>
      </c>
      <c r="B33" t="e">
        <f t="shared" si="28"/>
        <v>#DIV/0!</v>
      </c>
      <c r="L33" s="3">
        <f t="shared" ref="L33" si="31">AVERAGE(O33:S33)</f>
        <v>0.61108258922589764</v>
      </c>
      <c r="M33">
        <f t="shared" si="29"/>
        <v>2.9186970572683667E-2</v>
      </c>
      <c r="N33" s="6" t="s">
        <v>16</v>
      </c>
      <c r="O33" s="4">
        <v>0.5775775133253559</v>
      </c>
      <c r="P33" s="4">
        <v>0.63098737524459603</v>
      </c>
      <c r="Q33" s="4">
        <v>0.62468287910774101</v>
      </c>
    </row>
    <row r="34" spans="1:17" x14ac:dyDescent="0.25">
      <c r="D34" s="1" t="s">
        <v>10</v>
      </c>
      <c r="O34" s="1" t="s">
        <v>10</v>
      </c>
    </row>
    <row r="35" spans="1:17" x14ac:dyDescent="0.25">
      <c r="A35" s="3">
        <f>AVERAGE(D35:H35)</f>
        <v>1</v>
      </c>
      <c r="B35" t="e">
        <f>STDEV(D35:H35)</f>
        <v>#DIV/0!</v>
      </c>
      <c r="C35" s="9" t="s">
        <v>11</v>
      </c>
      <c r="D35" s="4">
        <v>1</v>
      </c>
      <c r="L35" s="3">
        <f>AVERAGE(O35:S35)</f>
        <v>1</v>
      </c>
      <c r="M35" t="e">
        <f>STDEV(O35:S35)</f>
        <v>#DIV/0!</v>
      </c>
      <c r="N35" s="6" t="s">
        <v>14</v>
      </c>
      <c r="O35" s="4">
        <v>1</v>
      </c>
    </row>
    <row r="36" spans="1:17" x14ac:dyDescent="0.25">
      <c r="A36" s="3">
        <f>AVERAGE(D36:H36)</f>
        <v>0.97327489528759348</v>
      </c>
      <c r="B36" t="e">
        <f t="shared" ref="B36:B37" si="32">STDEV(D36:H36)</f>
        <v>#DIV/0!</v>
      </c>
      <c r="C36" s="9" t="s">
        <v>12</v>
      </c>
      <c r="D36" s="4">
        <v>0.97327489528759348</v>
      </c>
      <c r="L36" s="3">
        <f>AVERAGE(O36:S36)</f>
        <v>1.0737328949318234</v>
      </c>
      <c r="M36" t="e">
        <f t="shared" ref="M36:M37" si="33">STDEV(O36:S36)</f>
        <v>#DIV/0!</v>
      </c>
      <c r="N36" s="6" t="s">
        <v>15</v>
      </c>
      <c r="O36" s="4">
        <v>1.0737328949318234</v>
      </c>
    </row>
    <row r="37" spans="1:17" x14ac:dyDescent="0.25">
      <c r="A37" s="3">
        <f t="shared" ref="A37" si="34">AVERAGE(D37:H37)</f>
        <v>0.63023871314477486</v>
      </c>
      <c r="B37" t="e">
        <f t="shared" si="32"/>
        <v>#DIV/0!</v>
      </c>
      <c r="C37" s="9" t="s">
        <v>13</v>
      </c>
      <c r="D37" s="4">
        <v>0.63023871314477486</v>
      </c>
      <c r="L37" s="3">
        <f t="shared" ref="L37" si="35">AVERAGE(O37:S37)</f>
        <v>0.66207308820366551</v>
      </c>
      <c r="M37" t="e">
        <f t="shared" si="33"/>
        <v>#DIV/0!</v>
      </c>
      <c r="N37" s="6" t="s">
        <v>16</v>
      </c>
      <c r="O37" s="4">
        <v>0.66207308820366551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 now</vt:lpstr>
      <vt:lpstr>Clean</vt:lpstr>
      <vt:lpstr>Susp+Inv</vt:lpstr>
    </vt:vector>
  </TitlesOfParts>
  <Company>Northwestern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Biljana Kraljacic</dc:creator>
  <cp:lastModifiedBy>Xiaopei Zhang</cp:lastModifiedBy>
  <dcterms:created xsi:type="dcterms:W3CDTF">2025-11-25T20:48:02Z</dcterms:created>
  <dcterms:modified xsi:type="dcterms:W3CDTF">2025-11-25T21:23:16Z</dcterms:modified>
</cp:coreProperties>
</file>